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er-Family Monthly Cost" sheetId="2" state="visible" r:id="rId4"/>
    <sheet name="Scale Scenarios" sheetId="3" state="visible" r:id="rId5"/>
    <sheet name="Notes &amp;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<sst xmlns="http://schemas.openxmlformats.org/spreadsheetml/2006/main" count="188" uniqueCount="179">
  <si>
    <t xml:space="preserve">myFamiPedia — Cost Model Assumptions</t>
  </si>
  <si>
    <t xml:space="preserve">All usage figures below are PER FAMILY (aggregate across all active members), not per person, unless labeled 'per user'.</t>
  </si>
  <si>
    <t xml:space="preserve">Exchange rate</t>
  </si>
  <si>
    <t xml:space="preserve">EUR per USD</t>
  </si>
  <si>
    <t xml:space="preserve">Illustrative — update to the current rate before relying on this model</t>
  </si>
  <si>
    <t xml:space="preserve">Cloud / API pricing (USD)</t>
  </si>
  <si>
    <t xml:space="preserve">Component</t>
  </si>
  <si>
    <t xml:space="preserve">Rate (USD)</t>
  </si>
  <si>
    <t xml:space="preserve">Per</t>
  </si>
  <si>
    <t xml:space="preserve">Source</t>
  </si>
  <si>
    <t xml:space="preserve">R2 storage</t>
  </si>
  <si>
    <t xml:space="preserve">GB-month</t>
  </si>
  <si>
    <t xml:space="preserve">Cloudflare R2 pricing, developers.cloudflare.com/r2/pricing (fetched Jul 2026)</t>
  </si>
  <si>
    <t xml:space="preserve">R2 Class A operations</t>
  </si>
  <si>
    <t xml:space="preserve">1,000,000 ops</t>
  </si>
  <si>
    <t xml:space="preserve">Cloudflare R2 pricing (fetched Jul 2026)</t>
  </si>
  <si>
    <t xml:space="preserve">R2 Class B operations</t>
  </si>
  <si>
    <t xml:space="preserve">Voyage multimodal-3.5 — text</t>
  </si>
  <si>
    <t xml:space="preserve">1,000,000 tokens</t>
  </si>
  <si>
    <t xml:space="preserve">docs.voyageai.com/docs/pricing (fetched Jul 2026)</t>
  </si>
  <si>
    <t xml:space="preserve">Voyage multimodal-3.5 — image</t>
  </si>
  <si>
    <t xml:space="preserve">1,000,000,000 pixels</t>
  </si>
  <si>
    <t xml:space="preserve">OpenAI Whisper transcription</t>
  </si>
  <si>
    <t xml:space="preserve">minute</t>
  </si>
  <si>
    <t xml:space="preserve">OpenAI API pricing, per-minute rate (fetched Jul 2026)</t>
  </si>
  <si>
    <t xml:space="preserve">ElevenLabs TTS (Multilingual v2/v3)</t>
  </si>
  <si>
    <t xml:space="preserve">1,000 characters</t>
  </si>
  <si>
    <t xml:space="preserve">elevenlabs.io/pricing/api, pay-as-you-go rate (fetched Jul 2026)</t>
  </si>
  <si>
    <t xml:space="preserve">AWS Rekognition DetectFaces (Group 2, tier 1)</t>
  </si>
  <si>
    <t xml:space="preserve">image</t>
  </si>
  <si>
    <t xml:space="preserve">aws.amazon.com/rekognition/pricing, first 1M images/month tier (fetched Jul 2026)</t>
  </si>
  <si>
    <t xml:space="preserve">AWS Rekognition SearchFacesByImage (Group 1, tier 1)</t>
  </si>
  <si>
    <t xml:space="preserve">AWS Rekognition face vector storage</t>
  </si>
  <si>
    <t xml:space="preserve">face-vector per month</t>
  </si>
  <si>
    <t xml:space="preserve">aws.amazon.com/rekognition/pricing (fetched Jul 2026)</t>
  </si>
  <si>
    <t xml:space="preserve">DeepL translation (marginal)</t>
  </si>
  <si>
    <t xml:space="preserve">1,000,000 characters</t>
  </si>
  <si>
    <t xml:space="preserve">DeepL API Pro plan, no volume discount (fetched Jul 2026)</t>
  </si>
  <si>
    <t xml:space="preserve">DeepL API Pro base fee</t>
  </si>
  <si>
    <t xml:space="preserve">month (fixed)</t>
  </si>
  <si>
    <t xml:space="preserve">DeepL API Pro plan base fee (fetched Jul 2026)</t>
  </si>
  <si>
    <t xml:space="preserve">OVHcloud VPS-2 2027</t>
  </si>
  <si>
    <t xml:space="preserve">month per instance</t>
  </si>
  <si>
    <t xml:space="preserve">OVHcloud VPS pricing; matches the 4 vCore / 8GB / 75GB VPS already in use (fetched Jul 2026)</t>
  </si>
  <si>
    <t xml:space="preserve">Photo volume — bottom-up per-user driver, with storage cross-check</t>
  </si>
  <si>
    <t xml:space="preserve">Photo share of storage growth</t>
  </si>
  <si>
    <t xml:space="preserve">Used only in the storage-derived cross-check row below, not in the primary cost driver</t>
  </si>
  <si>
    <t xml:space="preserve">Avg photo file size as stored on R2</t>
  </si>
  <si>
    <t xml:space="preserve">MB — used only in the storage-derived cross-check row below</t>
  </si>
  <si>
    <t xml:space="preserve">Per-family usage assumptions (illustrative — adjust freely)</t>
  </si>
  <si>
    <t xml:space="preserve">Year 1</t>
  </si>
  <si>
    <t xml:space="preserve">Year 5</t>
  </si>
  <si>
    <t xml:space="preserve">Year 10</t>
  </si>
  <si>
    <t xml:space="preserve">Unit / basis</t>
  </si>
  <si>
    <t xml:space="preserve">Family size (active members)</t>
  </si>
  <si>
    <t xml:space="preserve">people — from product doc</t>
  </si>
  <si>
    <t xml:space="preserve">Storage per family (cumulative)</t>
  </si>
  <si>
    <t xml:space="preserve">GB — from product doc, section 10</t>
  </si>
  <si>
    <t xml:space="preserve">Photos uploaded per active user per month</t>
  </si>
  <si>
    <t xml:space="preserve">PRIMARY DRIVER — per your estimate. Edit per year if engagement changes over time.</t>
  </si>
  <si>
    <t xml:space="preserve">New photos processed per month (family total)</t>
  </si>
  <si>
    <t xml:space="preserve">Formula: photos/user/month x family size. This is what feeds Rekognition and Voyage-image cost below.</t>
  </si>
  <si>
    <t xml:space="preserve">  cross-check: photos/month implied by storage growth</t>
  </si>
  <si>
    <t xml:space="preserve">Reference only, does not feed cost formulas. If this diverges a lot from the row above, the storage figure, avg photo size, or per-user estimate is off — not all photos taken are necessarily kept/stored at full size.</t>
  </si>
  <si>
    <t xml:space="preserve">Avg pixels per photo (post-compression)</t>
  </si>
  <si>
    <t xml:space="preserve">pixels — for Voyage image-embedding cost</t>
  </si>
  <si>
    <t xml:space="preserve">Voice minutes transcribed per month</t>
  </si>
  <si>
    <t xml:space="preserve">minutes/month — anchored to Section 3 session cadence</t>
  </si>
  <si>
    <t xml:space="preserve">New memories created per month (text/voice)</t>
  </si>
  <si>
    <t xml:space="preserve">memories/month — question-stream answers + interview transcripts + text notes</t>
  </si>
  <si>
    <t xml:space="preserve">Avg tokens per memory</t>
  </si>
  <si>
    <t xml:space="preserve">tokens</t>
  </si>
  <si>
    <t xml:space="preserve">AI-narration characters synthesized per month</t>
  </si>
  <si>
    <t xml:space="preserve">characters/month — grows as more of the archive relies on AI synthesis</t>
  </si>
  <si>
    <t xml:space="preserve">Translation characters per month</t>
  </si>
  <si>
    <t xml:space="preserve">characters/month — rough blended average</t>
  </si>
  <si>
    <t xml:space="preserve">Active face vectors enrolled</t>
  </si>
  <si>
    <t xml:space="preserve">faces — only active/consented members are enrolled</t>
  </si>
  <si>
    <t xml:space="preserve">R2 Class A ops per month (writes)</t>
  </si>
  <si>
    <t xml:space="preserve">DERIVED: (photos + memories) x 1.1 buffer for multipart/retries</t>
  </si>
  <si>
    <t xml:space="preserve">R2 Class B ops per month (reads)</t>
  </si>
  <si>
    <t xml:space="preserve">ops/month — family browsing activity, independent estimate</t>
  </si>
  <si>
    <t xml:space="preserve">Scale / shared-cost assumptions</t>
  </si>
  <si>
    <t xml:space="preserve">Representative family count (headline per-family view)</t>
  </si>
  <si>
    <t xml:space="preserve">families — used to allocate VPS + DeepL base fee per family below</t>
  </si>
  <si>
    <t xml:space="preserve">Families served per VPS instance</t>
  </si>
  <si>
    <t xml:space="preserve">assumption — heavy AI/media calls run on external APIs, VPS only runs Postgres/Redis/API/workers</t>
  </si>
  <si>
    <t xml:space="preserve">Cost deflation / price inflation over time</t>
  </si>
  <si>
    <t xml:space="preserve">Years from today (Year 1 / Year 5 / Year 10 columns)</t>
  </si>
  <si>
    <t xml:space="preserve">Treats each column as that many calendar years from July 2026, so 'Year 10' pricing/revenue reflects 10 years of compounding, not just 2026 rates applied to higher usage</t>
  </si>
  <si>
    <t xml:space="preserve">Annual AI/cloud cost deflation rate</t>
  </si>
  <si>
    <t xml:space="preserve">Illustrative — cloud/AI per-unit prices have historically trended down with competition and efficiency gains. Applied uniformly to every cost line (storage, Rekognition, Voyage, Whisper, ElevenLabs, DeepL, VPS) as a simplification; real services won't decline at identical rates. Not a published forecast — adjust freely, including to 0% if you'd rather model flat prices.</t>
  </si>
  <si>
    <t xml:space="preserve">Annual subscription price inflation rate</t>
  </si>
  <si>
    <t xml:space="preserve">Illustrative — assumes you raise prices over time (inflation tracking or value capture), not that €12-15/€99-120 stays fixed for a decade. Adjust to 0% to model flat pricing.</t>
  </si>
  <si>
    <t xml:space="preserve">myFamiPedia — Per-Family Monthly Cost (EUR)</t>
  </si>
  <si>
    <t xml:space="preserve">Cost component</t>
  </si>
  <si>
    <t xml:space="preserve">Year 1 (€/mo)</t>
  </si>
  <si>
    <t xml:space="preserve">Year 5 (€/mo)</t>
  </si>
  <si>
    <t xml:space="preserve">Year 10 (€/mo)</t>
  </si>
  <si>
    <t xml:space="preserve">R2 operations (Class A + Class B)</t>
  </si>
  <si>
    <t xml:space="preserve">Whisper transcription</t>
  </si>
  <si>
    <t xml:space="preserve">ElevenLabs TTS (AI narration)</t>
  </si>
  <si>
    <t xml:space="preserve">Voyage embeddings — text (memories)</t>
  </si>
  <si>
    <t xml:space="preserve">Voyage embeddings — image (photos)</t>
  </si>
  <si>
    <t xml:space="preserve">Rekognition DetectFaces</t>
  </si>
  <si>
    <t xml:space="preserve">Rekognition SearchFacesByImage</t>
  </si>
  <si>
    <t xml:space="preserve">Rekognition face vector storage</t>
  </si>
  <si>
    <t xml:space="preserve">Subtotal — variable cost per family</t>
  </si>
  <si>
    <t xml:space="preserve">VPS cost per family (shared, at representative family count)</t>
  </si>
  <si>
    <t xml:space="preserve">DeepL base fee per family (shared, at representative family count)</t>
  </si>
  <si>
    <t xml:space="preserve">Subtotal — fixed/shared cost per family</t>
  </si>
  <si>
    <t xml:space="preserve">Total infra cost per family per month</t>
  </si>
  <si>
    <t xml:space="preserve">Biggest single expense (label)</t>
  </si>
  <si>
    <t xml:space="preserve">Revenue — monthly plan (avg of €12–15)</t>
  </si>
  <si>
    <t xml:space="preserve">Revenue — annual plan (avg of €99–120, ÷12)</t>
  </si>
  <si>
    <t xml:space="preserve">Gross margin € (monthly plan)</t>
  </si>
  <si>
    <t xml:space="preserve">Gross margin % (monthly plan)</t>
  </si>
  <si>
    <t xml:space="preserve">Gross margin € (annual plan)</t>
  </si>
  <si>
    <t xml:space="preserve">Gross margin % (annual plan)</t>
  </si>
  <si>
    <t xml:space="preserve">Target gross margin (per product doc, midpoint of 75-80%)</t>
  </si>
  <si>
    <t xml:space="preserve">Monthly plan vs. target (pp)</t>
  </si>
  <si>
    <t xml:space="preserve">Annual plan vs. target (pp)</t>
  </si>
  <si>
    <t xml:space="preserve">myFamiPedia — Scale Scenarios (EUR, Year 5 usage basis)</t>
  </si>
  <si>
    <t xml:space="preserve">Variable cost per family uses the Year 5 usage assumptions as a representative mid-life family; fixed cost (VPS + DeepL base) and revenue both apply the Year 5 deflation/inflation factor from the Assumptions sheet, for consistency with the Year 5 basis stated above.</t>
  </si>
  <si>
    <t xml:space="preserve">Families</t>
  </si>
  <si>
    <t xml:space="preserve">VPS instances needed</t>
  </si>
  <si>
    <t xml:space="preserve">VPS cost total (€/mo)</t>
  </si>
  <si>
    <t xml:space="preserve">VPS €/family</t>
  </si>
  <si>
    <t xml:space="preserve">DeepL base €/family</t>
  </si>
  <si>
    <t xml:space="preserve">Fixed €/family</t>
  </si>
  <si>
    <t xml:space="preserve">Variable €/family (Y5)</t>
  </si>
  <si>
    <t xml:space="preserve">Total €/family</t>
  </si>
  <si>
    <t xml:space="preserve">Revenue €/family (monthly plan)</t>
  </si>
  <si>
    <t xml:space="preserve">Margin %</t>
  </si>
  <si>
    <t xml:space="preserve">myFamiPedia — Notes, Sources &amp; Caveats</t>
  </si>
  <si>
    <t xml:space="preserve">Pricing sources</t>
  </si>
  <si>
    <t xml:space="preserve">Cloudflare R2</t>
  </si>
  <si>
    <t xml:space="preserve">https://developers.cloudflare.com/r2/pricing/ — fetched July 2026</t>
  </si>
  <si>
    <t xml:space="preserve">Voyage AI (voyage-multimodal-3.5)</t>
  </si>
  <si>
    <t xml:space="preserve">https://docs.voyageai.com/docs/pricing — fetched July 2026</t>
  </si>
  <si>
    <t xml:space="preserve">OpenAI Whisper</t>
  </si>
  <si>
    <t xml:space="preserve">Per-minute rate as used in the product handover doc, confirmed via web search July 2026</t>
  </si>
  <si>
    <t xml:space="preserve">ElevenLabs</t>
  </si>
  <si>
    <t xml:space="preserve">https://elevenlabs.io/pricing/api — pay-as-you-go rate, fetched July 2026</t>
  </si>
  <si>
    <t xml:space="preserve">AWS Rekognition</t>
  </si>
  <si>
    <t xml:space="preserve">https://aws.amazon.com/rekognition/pricing/ — fetched July 2026</t>
  </si>
  <si>
    <t xml:space="preserve">DeepL</t>
  </si>
  <si>
    <t xml:space="preserve">DeepL API Pro plan pricing, fetched July 2026</t>
  </si>
  <si>
    <t xml:space="preserve">Matches the VPS already in use (4 vCore / 8GB RAM / 75GB), fetched July 2026</t>
  </si>
  <si>
    <t xml:space="preserve">Key assumptions and simplifications — read before relying on this model</t>
  </si>
  <si>
    <t xml:space="preserve">Per-family, not per-person, except the photo driver</t>
  </si>
  <si>
    <t xml:space="preserve">Every usage figure is a whole-family aggregate except 'Photos uploaded per active user per month,' which is deliberately per-user and multiplied by family size — this was changed based on direct feedback that per-user is the more intuitive way to reason about photo volume.</t>
  </si>
  <si>
    <t xml:space="preserve">Photo volume history</t>
  </si>
  <si>
    <t xml:space="preserve">V1 used an independent flat family-level guess (20-40/month) — too low against the doc's own storage figures. V2 derived photo count from storage growth instead. V3 (this version) switched the primary driver to a per-user rate (20 photos/user/month x family size = 400/month), per direct input, with the storage-derived figure kept as a visible cross-check row rather than deleted.</t>
  </si>
  <si>
    <t xml:space="preserve">Storage cross-check gap</t>
  </si>
  <si>
    <t xml:space="preserve">At 20 photos/user/month, the model implies more monthly photo volume than the doc's stated storage growth (12/55/110GB) would suggest at 4MB/photo. Either the storage figures undercount, the average stored photo is smaller than 4MB (compression, thumbnailing), or not every photo taken is retained. This is surfaced, not silently reconciled — see the cross-check row in Assumptions.</t>
  </si>
  <si>
    <t xml:space="preserve">EUR/USD rate</t>
  </si>
  <si>
    <t xml:space="preserve">Fixed illustrative rate (Assumptions!B5). Update to the live rate; every cost in this model scales linearly with it.</t>
  </si>
  <si>
    <t xml:space="preserve">Remaining usage figures are still illustrative</t>
  </si>
  <si>
    <t xml:space="preserve">Voice minutes/month, memories/month, AI-narration characters/month, and translation characters/month are estimates, not measured data.</t>
  </si>
  <si>
    <t xml:space="preserve">Rekognition tier</t>
  </si>
  <si>
    <t xml:space="preserve">Modeled at the first-tier (under 1M images/month platform-wide) rate. Volume discounts at real scale would lower this — model is conservative (overstates cost) at high platform scale.</t>
  </si>
  <si>
    <t xml:space="preserve">ElevenLabs billing model</t>
  </si>
  <si>
    <t xml:space="preserve">Modeled at the pay-as-you-go per-character rate; a paid plan may be required to unlock professional voice cloning, not separately modeled.</t>
  </si>
  <si>
    <t xml:space="preserve">VPS capacity assumption</t>
  </si>
  <si>
    <t xml:space="preserve">One VPS-2 2027 instance assumed to serve up to 2,000 active families — heavy compute runs on external APIs, not the VPS.</t>
  </si>
  <si>
    <t xml:space="preserve">Revenue</t>
  </si>
  <si>
    <t xml:space="preserve">€13.50/month and €9.13/month (€99-120/year ÷12) are both blue inputs on the Per-Family Monthly Cost sheet.</t>
  </si>
  <si>
    <t xml:space="preserve">What this model does NOT include</t>
  </si>
  <si>
    <t xml:space="preserve">Staff/dev time, payment processing fees, support tooling, marketing/CAC, myMigo-shared overhead. Strictly per-family cloud/API infrastructure cost.</t>
  </si>
  <si>
    <t xml:space="preserve">Cost deflation &amp; price inflation (new)</t>
  </si>
  <si>
    <t xml:space="preserve">Why</t>
  </si>
  <si>
    <t xml:space="preserve">The first three versions applied flat July-2026 pricing across Year 1/5/10, which implicitly assumes cloud/AI unit costs never change and subscription pricing never changes for a decade — both unrealistic in opposite directions.</t>
  </si>
  <si>
    <t xml:space="preserve">Cost deflation</t>
  </si>
  <si>
    <t xml:space="preserve">Assumptions!B50 (-10%/year default) compounds against every cost line and against VPS/DeepL base fees, using (1+rate)^years — 'years' being how far each column sits from today (1/5/10), not a family-tenure clock. Illustrative, not a forecast; set to 0% to disable.</t>
  </si>
  <si>
    <t xml:space="preserve">Price inflation</t>
  </si>
  <si>
    <t xml:space="preserve">Assumptions!B51 (+3%/year default) compounds against both revenue lines the same way. Set to 0% to disable.</t>
  </si>
  <si>
    <t xml:space="preserve">Net effect</t>
  </si>
  <si>
    <t xml:space="preserve">These two levers pull margin in opposite directions from the previous (static-price) version: costs shrink over the decade instead of just growing with usage, and revenue grows instead of staying flat — both improve Year 10 margin relative to the prior version. Check the Per-Family Monthly Cost sheet's Year 10 margin lines to see the current net result with the default -10%/+3% assumptions.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</si>
</sst>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0.0%"/>
    <numFmt numFmtId="167" formatCode="#,##0.00"/>
    <numFmt numFmtId="168" formatCode="#,##0"/>
    <numFmt numFmtId="169" formatCode="\€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4"/>
    <col collapsed="false" customWidth="true" hidden="false" outlineLevel="0" max="5" min="5" style="1" width="9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1" t="s">
        <v>3</v>
      </c>
      <c r="B5" s="5" t="n">
        <v>0.92</v>
      </c>
      <c r="D5" s="1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6" t="s">
        <v>6</v>
      </c>
      <c r="B8" s="6" t="s">
        <v>7</v>
      </c>
      <c r="C8" s="6" t="s">
        <v>8</v>
      </c>
      <c r="D8" s="6" t="s">
        <v>9</v>
      </c>
    </row>
    <row r="9" customFormat="false" ht="15" hidden="false" customHeight="true" outlineLevel="0" collapsed="false">
      <c r="A9" s="1" t="s">
        <v>10</v>
      </c>
      <c r="B9" s="7" t="n">
        <v>0.015</v>
      </c>
      <c r="C9" s="1" t="s">
        <v>11</v>
      </c>
      <c r="D9" s="1" t="s">
        <v>12</v>
      </c>
    </row>
    <row r="10" customFormat="false" ht="15" hidden="false" customHeight="true" outlineLevel="0" collapsed="false">
      <c r="A10" s="1" t="s">
        <v>13</v>
      </c>
      <c r="B10" s="7" t="n">
        <v>4.5</v>
      </c>
      <c r="C10" s="1" t="s">
        <v>14</v>
      </c>
      <c r="D10" s="1" t="s">
        <v>15</v>
      </c>
    </row>
    <row r="11" customFormat="false" ht="15" hidden="false" customHeight="true" outlineLevel="0" collapsed="false">
      <c r="A11" s="1" t="s">
        <v>16</v>
      </c>
      <c r="B11" s="7" t="n">
        <v>0.36</v>
      </c>
      <c r="C11" s="1" t="s">
        <v>14</v>
      </c>
      <c r="D11" s="1" t="s">
        <v>15</v>
      </c>
    </row>
    <row r="12" customFormat="false" ht="15" hidden="false" customHeight="true" outlineLevel="0" collapsed="false">
      <c r="A12" s="1" t="s">
        <v>17</v>
      </c>
      <c r="B12" s="7" t="n">
        <v>0.12</v>
      </c>
      <c r="C12" s="1" t="s">
        <v>18</v>
      </c>
      <c r="D12" s="1" t="s">
        <v>19</v>
      </c>
    </row>
    <row r="13" customFormat="false" ht="15" hidden="false" customHeight="true" outlineLevel="0" collapsed="false">
      <c r="A13" s="1" t="s">
        <v>20</v>
      </c>
      <c r="B13" s="7" t="n">
        <v>0.6</v>
      </c>
      <c r="C13" s="1" t="s">
        <v>21</v>
      </c>
      <c r="D13" s="1" t="s">
        <v>19</v>
      </c>
    </row>
    <row r="14" customFormat="false" ht="15" hidden="false" customHeight="true" outlineLevel="0" collapsed="false">
      <c r="A14" s="1" t="s">
        <v>22</v>
      </c>
      <c r="B14" s="7" t="n">
        <v>0.006</v>
      </c>
      <c r="C14" s="1" t="s">
        <v>23</v>
      </c>
      <c r="D14" s="1" t="s">
        <v>24</v>
      </c>
    </row>
    <row r="15" customFormat="false" ht="15" hidden="false" customHeight="true" outlineLevel="0" collapsed="false">
      <c r="A15" s="1" t="s">
        <v>25</v>
      </c>
      <c r="B15" s="7" t="n">
        <v>0.1</v>
      </c>
      <c r="C15" s="1" t="s">
        <v>26</v>
      </c>
      <c r="D15" s="1" t="s">
        <v>27</v>
      </c>
    </row>
    <row r="16" customFormat="false" ht="15" hidden="false" customHeight="true" outlineLevel="0" collapsed="false">
      <c r="A16" s="1" t="s">
        <v>28</v>
      </c>
      <c r="B16" s="7" t="n">
        <v>0.001</v>
      </c>
      <c r="C16" s="1" t="s">
        <v>29</v>
      </c>
      <c r="D16" s="1" t="s">
        <v>30</v>
      </c>
    </row>
    <row r="17" customFormat="false" ht="15" hidden="false" customHeight="true" outlineLevel="0" collapsed="false">
      <c r="A17" s="1" t="s">
        <v>31</v>
      </c>
      <c r="B17" s="7" t="n">
        <v>0.001</v>
      </c>
      <c r="C17" s="1" t="s">
        <v>29</v>
      </c>
      <c r="D17" s="1" t="s">
        <v>30</v>
      </c>
    </row>
    <row r="18" customFormat="false" ht="15" hidden="false" customHeight="true" outlineLevel="0" collapsed="false">
      <c r="A18" s="1" t="s">
        <v>32</v>
      </c>
      <c r="B18" s="7" t="n">
        <v>1E-005</v>
      </c>
      <c r="C18" s="1" t="s">
        <v>33</v>
      </c>
      <c r="D18" s="1" t="s">
        <v>34</v>
      </c>
    </row>
    <row r="19" customFormat="false" ht="15" hidden="false" customHeight="true" outlineLevel="0" collapsed="false">
      <c r="A19" s="1" t="s">
        <v>35</v>
      </c>
      <c r="B19" s="7" t="n">
        <v>25</v>
      </c>
      <c r="C19" s="1" t="s">
        <v>36</v>
      </c>
      <c r="D19" s="1" t="s">
        <v>37</v>
      </c>
    </row>
    <row r="20" customFormat="false" ht="15" hidden="false" customHeight="true" outlineLevel="0" collapsed="false">
      <c r="A20" s="1" t="s">
        <v>38</v>
      </c>
      <c r="B20" s="7" t="n">
        <v>5.49</v>
      </c>
      <c r="C20" s="1" t="s">
        <v>39</v>
      </c>
      <c r="D20" s="1" t="s">
        <v>40</v>
      </c>
    </row>
    <row r="21" customFormat="false" ht="15" hidden="false" customHeight="true" outlineLevel="0" collapsed="false">
      <c r="A21" s="1" t="s">
        <v>41</v>
      </c>
      <c r="B21" s="7" t="n">
        <v>8.5</v>
      </c>
      <c r="C21" s="1" t="s">
        <v>42</v>
      </c>
      <c r="D21" s="1" t="s">
        <v>43</v>
      </c>
    </row>
    <row r="23" customFormat="false" ht="15" hidden="false" customHeight="true" outlineLevel="0" collapsed="false">
      <c r="A23" s="4" t="s">
        <v>44</v>
      </c>
    </row>
    <row r="24" customFormat="false" ht="15" hidden="false" customHeight="true" outlineLevel="0" collapsed="false">
      <c r="A24" s="1" t="s">
        <v>45</v>
      </c>
      <c r="B24" s="8" t="n">
        <v>0.85</v>
      </c>
      <c r="E24" s="1" t="s">
        <v>46</v>
      </c>
    </row>
    <row r="25" customFormat="false" ht="15" hidden="false" customHeight="true" outlineLevel="0" collapsed="false">
      <c r="A25" s="1" t="s">
        <v>47</v>
      </c>
      <c r="B25" s="9" t="n">
        <v>4</v>
      </c>
      <c r="E25" s="1" t="s">
        <v>48</v>
      </c>
    </row>
    <row r="27" customFormat="false" ht="15" hidden="false" customHeight="true" outlineLevel="0" collapsed="false">
      <c r="A27" s="4" t="s">
        <v>49</v>
      </c>
    </row>
    <row r="28" customFormat="false" ht="15" hidden="false" customHeight="true" outlineLevel="0" collapsed="false">
      <c r="A28" s="6" t="s">
        <v>6</v>
      </c>
      <c r="B28" s="6" t="s">
        <v>50</v>
      </c>
      <c r="C28" s="6" t="s">
        <v>51</v>
      </c>
      <c r="D28" s="6" t="s">
        <v>52</v>
      </c>
      <c r="E28" s="6" t="s">
        <v>53</v>
      </c>
    </row>
    <row r="29" customFormat="false" ht="15" hidden="false" customHeight="true" outlineLevel="0" collapsed="false">
      <c r="A29" s="1" t="s">
        <v>54</v>
      </c>
      <c r="B29" s="10" t="n">
        <v>20</v>
      </c>
      <c r="C29" s="10" t="n">
        <v>20</v>
      </c>
      <c r="D29" s="10" t="n">
        <v>20</v>
      </c>
      <c r="E29" s="1" t="s">
        <v>55</v>
      </c>
    </row>
    <row r="30" customFormat="false" ht="15" hidden="false" customHeight="true" outlineLevel="0" collapsed="false">
      <c r="A30" s="1" t="s">
        <v>56</v>
      </c>
      <c r="B30" s="10" t="n">
        <v>12</v>
      </c>
      <c r="C30" s="10" t="n">
        <v>55</v>
      </c>
      <c r="D30" s="10" t="n">
        <v>110</v>
      </c>
      <c r="E30" s="1" t="s">
        <v>57</v>
      </c>
    </row>
    <row r="31" customFormat="false" ht="15" hidden="false" customHeight="true" outlineLevel="0" collapsed="false">
      <c r="A31" s="1" t="s">
        <v>58</v>
      </c>
      <c r="B31" s="11" t="n">
        <v>20</v>
      </c>
      <c r="C31" s="11" t="n">
        <v>20</v>
      </c>
      <c r="D31" s="11" t="n">
        <v>20</v>
      </c>
      <c r="E31" s="1" t="s">
        <v>59</v>
      </c>
    </row>
    <row r="32" customFormat="false" ht="15" hidden="false" customHeight="true" outlineLevel="0" collapsed="false">
      <c r="A32" s="12" t="s">
        <v>60</v>
      </c>
      <c r="B32" s="13" t="n">
        <f aca="false">B31*B29</f>
        <v>400</v>
      </c>
      <c r="C32" s="13" t="n">
        <f aca="false">C31*C29</f>
        <v>400</v>
      </c>
      <c r="D32" s="13" t="n">
        <f aca="false">D31*D29</f>
        <v>400</v>
      </c>
      <c r="E32" s="1" t="s">
        <v>61</v>
      </c>
    </row>
    <row r="33" customFormat="false" ht="15" hidden="false" customHeight="true" outlineLevel="0" collapsed="false">
      <c r="A33" s="3" t="s">
        <v>62</v>
      </c>
      <c r="B33" s="14" t="n">
        <f aca="false">$B$30*1024*$B$24/$B$25/12</f>
        <v>217.6</v>
      </c>
      <c r="C33" s="14" t="n">
        <f aca="false">(C30-B30)*1024*$B$24/$B$25/48</f>
        <v>194.933333333333</v>
      </c>
      <c r="D33" s="14" t="n">
        <f aca="false">(D30-C30)*1024*$B$24/$B$25/60</f>
        <v>199.466666666667</v>
      </c>
      <c r="E33" s="1" t="s">
        <v>63</v>
      </c>
    </row>
    <row r="34" customFormat="false" ht="15" hidden="false" customHeight="true" outlineLevel="0" collapsed="false">
      <c r="A34" s="1" t="s">
        <v>64</v>
      </c>
      <c r="B34" s="10" t="n">
        <v>2000000</v>
      </c>
      <c r="C34" s="10" t="n">
        <v>2000000</v>
      </c>
      <c r="D34" s="10" t="n">
        <v>2000000</v>
      </c>
      <c r="E34" s="1" t="s">
        <v>65</v>
      </c>
    </row>
    <row r="35" customFormat="false" ht="15" hidden="false" customHeight="true" outlineLevel="0" collapsed="false">
      <c r="A35" s="1" t="s">
        <v>66</v>
      </c>
      <c r="B35" s="10" t="n">
        <v>15</v>
      </c>
      <c r="C35" s="10" t="n">
        <v>10</v>
      </c>
      <c r="D35" s="10" t="n">
        <v>5</v>
      </c>
      <c r="E35" s="1" t="s">
        <v>67</v>
      </c>
    </row>
    <row r="36" customFormat="false" ht="15" hidden="false" customHeight="true" outlineLevel="0" collapsed="false">
      <c r="A36" s="1" t="s">
        <v>68</v>
      </c>
      <c r="B36" s="10" t="n">
        <v>30</v>
      </c>
      <c r="C36" s="10" t="n">
        <v>20</v>
      </c>
      <c r="D36" s="10" t="n">
        <v>12</v>
      </c>
      <c r="E36" s="1" t="s">
        <v>69</v>
      </c>
    </row>
    <row r="37" customFormat="false" ht="15" hidden="false" customHeight="true" outlineLevel="0" collapsed="false">
      <c r="A37" s="1" t="s">
        <v>70</v>
      </c>
      <c r="B37" s="10" t="n">
        <v>120</v>
      </c>
      <c r="C37" s="10" t="n">
        <v>120</v>
      </c>
      <c r="D37" s="10" t="n">
        <v>120</v>
      </c>
      <c r="E37" s="1" t="s">
        <v>71</v>
      </c>
    </row>
    <row r="38" customFormat="false" ht="15" hidden="false" customHeight="true" outlineLevel="0" collapsed="false">
      <c r="A38" s="1" t="s">
        <v>72</v>
      </c>
      <c r="B38" s="10" t="n">
        <v>500</v>
      </c>
      <c r="C38" s="10" t="n">
        <v>2000</v>
      </c>
      <c r="D38" s="10" t="n">
        <v>4000</v>
      </c>
      <c r="E38" s="1" t="s">
        <v>73</v>
      </c>
    </row>
    <row r="39" customFormat="false" ht="15" hidden="false" customHeight="true" outlineLevel="0" collapsed="false">
      <c r="A39" s="1" t="s">
        <v>74</v>
      </c>
      <c r="B39" s="10" t="n">
        <v>1000</v>
      </c>
      <c r="C39" s="10" t="n">
        <v>1000</v>
      </c>
      <c r="D39" s="10" t="n">
        <v>1000</v>
      </c>
      <c r="E39" s="1" t="s">
        <v>75</v>
      </c>
    </row>
    <row r="40" customFormat="false" ht="15" hidden="false" customHeight="true" outlineLevel="0" collapsed="false">
      <c r="A40" s="1" t="s">
        <v>76</v>
      </c>
      <c r="B40" s="10" t="n">
        <v>20</v>
      </c>
      <c r="C40" s="10" t="n">
        <v>20</v>
      </c>
      <c r="D40" s="10" t="n">
        <v>20</v>
      </c>
      <c r="E40" s="1" t="s">
        <v>77</v>
      </c>
    </row>
    <row r="41" customFormat="false" ht="15" hidden="false" customHeight="true" outlineLevel="0" collapsed="false">
      <c r="A41" s="12" t="s">
        <v>78</v>
      </c>
      <c r="B41" s="13" t="n">
        <f aca="false">(B32+B36)*1.1</f>
        <v>473</v>
      </c>
      <c r="C41" s="13" t="n">
        <f aca="false">(C32+C36)*1.1</f>
        <v>462</v>
      </c>
      <c r="D41" s="13" t="n">
        <f aca="false">(D32+D36)*1.1</f>
        <v>453.2</v>
      </c>
      <c r="E41" s="1" t="s">
        <v>79</v>
      </c>
    </row>
    <row r="42" customFormat="false" ht="15" hidden="false" customHeight="true" outlineLevel="0" collapsed="false">
      <c r="A42" s="1" t="s">
        <v>80</v>
      </c>
      <c r="B42" s="10" t="n">
        <v>600</v>
      </c>
      <c r="C42" s="10" t="n">
        <v>500</v>
      </c>
      <c r="D42" s="10" t="n">
        <v>400</v>
      </c>
      <c r="E42" s="1" t="s">
        <v>81</v>
      </c>
    </row>
    <row r="44" customFormat="false" ht="15" hidden="false" customHeight="true" outlineLevel="0" collapsed="false">
      <c r="A44" s="4" t="s">
        <v>82</v>
      </c>
    </row>
    <row r="45" customFormat="false" ht="15" hidden="false" customHeight="true" outlineLevel="0" collapsed="false">
      <c r="A45" s="1" t="s">
        <v>83</v>
      </c>
      <c r="B45" s="11" t="n">
        <v>500</v>
      </c>
      <c r="E45" s="1" t="s">
        <v>84</v>
      </c>
    </row>
    <row r="46" customFormat="false" ht="15" hidden="false" customHeight="true" outlineLevel="0" collapsed="false">
      <c r="A46" s="1" t="s">
        <v>85</v>
      </c>
      <c r="B46" s="11" t="n">
        <v>2000</v>
      </c>
      <c r="E46" s="1" t="s">
        <v>86</v>
      </c>
    </row>
    <row r="48" customFormat="false" ht="15" hidden="false" customHeight="false" outlineLevel="0" collapsed="false">
      <c r="A48" s="15" t="s">
        <v>87</v>
      </c>
    </row>
    <row r="49" customFormat="false" ht="15" hidden="false" customHeight="false" outlineLevel="0" collapsed="false">
      <c r="A49" s="1" t="s">
        <v>88</v>
      </c>
      <c r="B49" s="16" t="n">
        <v>1</v>
      </c>
      <c r="C49" s="16" t="n">
        <v>5</v>
      </c>
      <c r="D49" s="16" t="n">
        <v>10</v>
      </c>
      <c r="E49" s="1" t="s">
        <v>89</v>
      </c>
    </row>
    <row r="50" customFormat="false" ht="15" hidden="false" customHeight="false" outlineLevel="0" collapsed="false">
      <c r="A50" s="1" t="s">
        <v>90</v>
      </c>
      <c r="B50" s="17" t="n">
        <v>-0.1</v>
      </c>
      <c r="E50" s="1" t="s">
        <v>91</v>
      </c>
    </row>
    <row r="51" customFormat="false" ht="15" hidden="false" customHeight="false" outlineLevel="0" collapsed="false">
      <c r="A51" s="1" t="s">
        <v>92</v>
      </c>
      <c r="B51" s="17" t="n">
        <v>0.03</v>
      </c>
      <c r="E51" s="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4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2" t="s">
        <v>94</v>
      </c>
    </row>
    <row r="3" customFormat="false" ht="15" hidden="false" customHeight="true" outlineLevel="0" collapsed="false">
      <c r="A3" s="6" t="s">
        <v>95</v>
      </c>
      <c r="B3" s="6" t="s">
        <v>96</v>
      </c>
      <c r="C3" s="6" t="s">
        <v>97</v>
      </c>
      <c r="D3" s="6" t="s">
        <v>98</v>
      </c>
    </row>
    <row r="4" customFormat="false" ht="15" hidden="false" customHeight="true" outlineLevel="0" collapsed="false">
      <c r="A4" s="1" t="s">
        <v>10</v>
      </c>
      <c r="B4" s="18" t="n">
        <f aca="false">Assumptions!$B$30*Assumptions!$B$9*Assumptions!$B$5*(1+Assumptions!$B$50)^Assumptions!$B$49</f>
        <v>0.14904</v>
      </c>
      <c r="C4" s="18" t="n">
        <f aca="false">Assumptions!$C$30*Assumptions!$B$9*Assumptions!$B$5*(1+Assumptions!$B$50)^Assumptions!$C$49</f>
        <v>0.44818191</v>
      </c>
      <c r="D4" s="18" t="n">
        <f aca="false">Assumptions!$D$30*Assumptions!$B$9*Assumptions!$B$5*(1+Assumptions!$B$50)^Assumptions!$D$49</f>
        <v>0.5292938720718</v>
      </c>
    </row>
    <row r="5" customFormat="false" ht="15" hidden="false" customHeight="true" outlineLevel="0" collapsed="false">
      <c r="A5" s="1" t="s">
        <v>99</v>
      </c>
      <c r="B5" s="18" t="n">
        <f aca="false">(Assumptions!$B$41*Assumptions!$B$10/1000000+Assumptions!$B$42*Assumptions!$B$11/1000000)*Assumptions!$B$5*(1+Assumptions!$B$50)^Assumptions!$B$49</f>
        <v>0.001941246</v>
      </c>
      <c r="C5" s="18" t="n">
        <f aca="false">(Assumptions!$C$41*Assumptions!$B$10/1000000+Assumptions!$C$42*Assumptions!$B$11/1000000)*Assumptions!$B$5*(1+Assumptions!$B$50)^Assumptions!$C$49</f>
        <v>0.0012272035572</v>
      </c>
      <c r="D5" s="18" t="n">
        <f aca="false">(Assumptions!$D$41*Assumptions!$B$10/1000000+Assumptions!$D$42*Assumptions!$B$11/1000000)*Assumptions!$B$5*(1+Assumptions!$B$50)^Assumptions!$D$49</f>
        <v>0.000700400145625193</v>
      </c>
    </row>
    <row r="6" customFormat="false" ht="15" hidden="false" customHeight="true" outlineLevel="0" collapsed="false">
      <c r="A6" s="1" t="s">
        <v>100</v>
      </c>
      <c r="B6" s="18" t="n">
        <f aca="false">Assumptions!$B$35*Assumptions!$B$14*Assumptions!$B$5*(1+Assumptions!$B$50)^Assumptions!$B$49</f>
        <v>0.07452</v>
      </c>
      <c r="C6" s="18" t="n">
        <f aca="false">Assumptions!$C$35*Assumptions!$B$14*Assumptions!$B$5*(1+Assumptions!$B$50)^Assumptions!$C$49</f>
        <v>0.032595048</v>
      </c>
      <c r="D6" s="18" t="n">
        <f aca="false">Assumptions!$D$35*Assumptions!$B$14*Assumptions!$B$5*(1+Assumptions!$B$50)^Assumptions!$D$49</f>
        <v>0.00962352494676</v>
      </c>
    </row>
    <row r="7" customFormat="false" ht="15" hidden="false" customHeight="true" outlineLevel="0" collapsed="false">
      <c r="A7" s="1" t="s">
        <v>101</v>
      </c>
      <c r="B7" s="18" t="n">
        <f aca="false">Assumptions!$B$38/1000*Assumptions!$B$15*Assumptions!$B$5*(1+Assumptions!$B$50)^Assumptions!$B$49</f>
        <v>0.0414</v>
      </c>
      <c r="C7" s="18" t="n">
        <f aca="false">Assumptions!$C$38/1000*Assumptions!$B$15*Assumptions!$B$5*(1+Assumptions!$B$50)^Assumptions!$C$49</f>
        <v>0.10865016</v>
      </c>
      <c r="D7" s="18" t="n">
        <f aca="false">Assumptions!$D$38/1000*Assumptions!$B$15*Assumptions!$B$5*(1+Assumptions!$B$50)^Assumptions!$D$49</f>
        <v>0.1283136659568</v>
      </c>
    </row>
    <row r="8" customFormat="false" ht="15" hidden="false" customHeight="true" outlineLevel="0" collapsed="false">
      <c r="A8" s="1" t="s">
        <v>102</v>
      </c>
      <c r="B8" s="18" t="n">
        <f aca="false">(Assumptions!$B$36*Assumptions!$B$37)/1000000*Assumptions!$B$12*Assumptions!$B$5*(1+Assumptions!$B$50)^Assumptions!$B$49</f>
        <v>0.000357696</v>
      </c>
      <c r="C8" s="18" t="n">
        <f aca="false">(Assumptions!$C$36*Assumptions!$C$37)/1000000*Assumptions!$B$12*Assumptions!$B$5*(1+Assumptions!$B$50)^Assumptions!$C$49</f>
        <v>0.0001564562304</v>
      </c>
      <c r="D8" s="18" t="n">
        <f aca="false">(Assumptions!$D$36*Assumptions!$D$37)/1000000*Assumptions!$B$12*Assumptions!$B$5*(1+Assumptions!$B$50)^Assumptions!$D$49</f>
        <v>5.54315036933376E-005</v>
      </c>
    </row>
    <row r="9" customFormat="false" ht="15" hidden="false" customHeight="true" outlineLevel="0" collapsed="false">
      <c r="A9" s="1" t="s">
        <v>103</v>
      </c>
      <c r="B9" s="18" t="n">
        <f aca="false">(Assumptions!$B$32*Assumptions!$B$34)/1000000000*Assumptions!$B$13*Assumptions!$B$5*(1+Assumptions!$B$50)^Assumptions!$B$49</f>
        <v>0.39744</v>
      </c>
      <c r="C9" s="18" t="n">
        <f aca="false">(Assumptions!$C$32*Assumptions!$C$34)/1000000000*Assumptions!$B$13*Assumptions!$B$5*(1+Assumptions!$B$50)^Assumptions!$C$49</f>
        <v>0.260760384</v>
      </c>
      <c r="D9" s="18" t="n">
        <f aca="false">(Assumptions!$D$32*Assumptions!$D$34)/1000000000*Assumptions!$B$13*Assumptions!$B$5*(1+Assumptions!$B$50)^Assumptions!$D$49</f>
        <v>0.15397639914816</v>
      </c>
    </row>
    <row r="10" customFormat="false" ht="15" hidden="false" customHeight="true" outlineLevel="0" collapsed="false">
      <c r="A10" s="1" t="s">
        <v>104</v>
      </c>
      <c r="B10" s="18" t="n">
        <f aca="false">Assumptions!$B$32*Assumptions!$B$16*Assumptions!$B$5*(1+Assumptions!$B$50)^Assumptions!$B$49</f>
        <v>0.3312</v>
      </c>
      <c r="C10" s="18" t="n">
        <f aca="false">Assumptions!$C$32*Assumptions!$B$16*Assumptions!$B$5*(1+Assumptions!$B$50)^Assumptions!$C$49</f>
        <v>0.21730032</v>
      </c>
      <c r="D10" s="18" t="n">
        <f aca="false">Assumptions!$D$32*Assumptions!$B$16*Assumptions!$B$5*(1+Assumptions!$B$50)^Assumptions!$D$49</f>
        <v>0.1283136659568</v>
      </c>
    </row>
    <row r="11" customFormat="false" ht="15" hidden="false" customHeight="true" outlineLevel="0" collapsed="false">
      <c r="A11" s="1" t="s">
        <v>105</v>
      </c>
      <c r="B11" s="18" t="n">
        <f aca="false">Assumptions!$B$32*Assumptions!$B$17*Assumptions!$B$5*(1+Assumptions!$B$50)^Assumptions!$B$49</f>
        <v>0.3312</v>
      </c>
      <c r="C11" s="18" t="n">
        <f aca="false">Assumptions!$C$32*Assumptions!$B$17*Assumptions!$B$5*(1+Assumptions!$B$50)^Assumptions!$C$49</f>
        <v>0.21730032</v>
      </c>
      <c r="D11" s="18" t="n">
        <f aca="false">Assumptions!$D$32*Assumptions!$B$17*Assumptions!$B$5*(1+Assumptions!$B$50)^Assumptions!$D$49</f>
        <v>0.1283136659568</v>
      </c>
    </row>
    <row r="12" customFormat="false" ht="15" hidden="false" customHeight="true" outlineLevel="0" collapsed="false">
      <c r="A12" s="1" t="s">
        <v>106</v>
      </c>
      <c r="B12" s="18" t="n">
        <f aca="false">Assumptions!$B$40*Assumptions!$B$18*Assumptions!$B$5*(1+Assumptions!$B$50)^Assumptions!$B$49</f>
        <v>0.0001656</v>
      </c>
      <c r="C12" s="18" t="n">
        <f aca="false">Assumptions!$C$40*Assumptions!$B$18*Assumptions!$B$5*(1+Assumptions!$B$50)^Assumptions!$C$49</f>
        <v>0.00010865016</v>
      </c>
      <c r="D12" s="18" t="n">
        <f aca="false">Assumptions!$D$40*Assumptions!$B$18*Assumptions!$B$5*(1+Assumptions!$B$50)^Assumptions!$D$49</f>
        <v>6.41568329784E-005</v>
      </c>
    </row>
    <row r="13" customFormat="false" ht="15" hidden="false" customHeight="true" outlineLevel="0" collapsed="false">
      <c r="A13" s="1" t="s">
        <v>35</v>
      </c>
      <c r="B13" s="18" t="n">
        <f aca="false">Assumptions!$B$39/1000000*Assumptions!$B$19*Assumptions!$B$5*(1+Assumptions!$B$50)^Assumptions!$B$49</f>
        <v>0.0207</v>
      </c>
      <c r="C13" s="18" t="n">
        <f aca="false">Assumptions!$C$39/1000000*Assumptions!$B$19*Assumptions!$B$5*(1+Assumptions!$B$50)^Assumptions!$C$49</f>
        <v>0.01358127</v>
      </c>
      <c r="D13" s="18" t="n">
        <f aca="false">Assumptions!$D$39/1000000*Assumptions!$B$19*Assumptions!$B$5*(1+Assumptions!$B$50)^Assumptions!$D$49</f>
        <v>0.0080196041223</v>
      </c>
    </row>
    <row r="14" customFormat="false" ht="15" hidden="false" customHeight="true" outlineLevel="0" collapsed="false">
      <c r="A14" s="6" t="s">
        <v>107</v>
      </c>
      <c r="B14" s="19" t="n">
        <f aca="false">SUM(B4:B13)</f>
        <v>1.347964542</v>
      </c>
      <c r="C14" s="19" t="n">
        <f aca="false">SUM(C4:C13)</f>
        <v>1.2998617219476</v>
      </c>
      <c r="D14" s="19" t="n">
        <f aca="false">SUM(D4:D13)</f>
        <v>1.08667438664172</v>
      </c>
    </row>
    <row r="16" customFormat="false" ht="15" hidden="false" customHeight="true" outlineLevel="0" collapsed="false">
      <c r="A16" s="1" t="s">
        <v>108</v>
      </c>
      <c r="B16" s="18" t="n">
        <f aca="false">INDEX('Scale Scenarios'!$D:$D,MATCH(Assumptions!$B$45,'Scale Scenarios'!$A:$A,0))*(1+Assumptions!$B$50)^Assumptions!$B$49</f>
        <v>0.00831173724</v>
      </c>
      <c r="C16" s="18" t="n">
        <f aca="false">INDEX('Scale Scenarios'!$D:$D,MATCH(Assumptions!$B$45,'Scale Scenarios'!$A:$A,0))*(1+Assumptions!$B$50)^Assumptions!$C$49</f>
        <v>0.005453330803164</v>
      </c>
      <c r="D16" s="18" t="n">
        <f aca="false">INDEX('Scale Scenarios'!$D:$D,MATCH(Assumptions!$B$45,'Scale Scenarios'!$A:$A,0))*(1+Assumptions!$B$50)^Assumptions!$D$49</f>
        <v>0.00322013730596031</v>
      </c>
    </row>
    <row r="17" customFormat="false" ht="15" hidden="false" customHeight="true" outlineLevel="0" collapsed="false">
      <c r="A17" s="1" t="s">
        <v>109</v>
      </c>
      <c r="B17" s="18" t="n">
        <f aca="false">INDEX('Scale Scenarios'!$E:$E,MATCH(Assumptions!$B$45,'Scale Scenarios'!$A:$A,0))*(1+Assumptions!$B$50)^Assumptions!$B$49</f>
        <v>0.0053684044056</v>
      </c>
      <c r="C17" s="18" t="n">
        <f aca="false">INDEX('Scale Scenarios'!$E:$E,MATCH(Assumptions!$B$45,'Scale Scenarios'!$A:$A,0))*(1+Assumptions!$B$50)^Assumptions!$C$49</f>
        <v>0.00352221013051416</v>
      </c>
      <c r="D17" s="18" t="n">
        <f aca="false">INDEX('Scale Scenarios'!$E:$E,MATCH(Assumptions!$B$45,'Scale Scenarios'!$A:$A,0))*(1+Assumptions!$B$50)^Assumptions!$D$49</f>
        <v>0.00207982985996731</v>
      </c>
    </row>
    <row r="18" customFormat="false" ht="15" hidden="false" customHeight="true" outlineLevel="0" collapsed="false">
      <c r="A18" s="6" t="s">
        <v>110</v>
      </c>
      <c r="B18" s="19" t="n">
        <f aca="false">SUM(B16:B17)</f>
        <v>0.0136801416456</v>
      </c>
      <c r="C18" s="19" t="n">
        <f aca="false">SUM(C16:C17)</f>
        <v>0.00897554093367816</v>
      </c>
      <c r="D18" s="19" t="n">
        <f aca="false">SUM(D16:D17)</f>
        <v>0.00529996716592762</v>
      </c>
    </row>
    <row r="20" customFormat="false" ht="15" hidden="false" customHeight="true" outlineLevel="0" collapsed="false">
      <c r="A20" s="6" t="s">
        <v>111</v>
      </c>
      <c r="B20" s="19" t="n">
        <f aca="false">B14+B18</f>
        <v>1.3616446836456</v>
      </c>
      <c r="C20" s="19" t="n">
        <f aca="false">C14+C18</f>
        <v>1.30883726288128</v>
      </c>
      <c r="D20" s="19" t="n">
        <f aca="false">D14+D18</f>
        <v>1.09197435380764</v>
      </c>
    </row>
    <row r="21" customFormat="false" ht="15" hidden="false" customHeight="true" outlineLevel="0" collapsed="false">
      <c r="A21" s="12" t="s">
        <v>112</v>
      </c>
      <c r="B21" s="12" t="str">
        <f aca="false">INDEX($A$4:$A$13,MATCH(MAX(B4:B13),B4:B13,0))</f>
        <v>Voyage embeddings — image (photos)</v>
      </c>
      <c r="C21" s="12" t="str">
        <f aca="false">INDEX($A$4:$A$13,MATCH(MAX(C4:C13),C4:C13,0))</f>
        <v>R2 storage</v>
      </c>
      <c r="D21" s="12" t="str">
        <f aca="false">INDEX($A$4:$A$13,MATCH(MAX(D4:D13),D4:D13,0))</f>
        <v>R2 storage</v>
      </c>
    </row>
    <row r="23" customFormat="false" ht="15" hidden="false" customHeight="true" outlineLevel="0" collapsed="false">
      <c r="A23" s="1" t="s">
        <v>113</v>
      </c>
      <c r="B23" s="20" t="n">
        <f aca="false">13.5*(1+Assumptions!$B$51)^Assumptions!$B$49</f>
        <v>13.905</v>
      </c>
      <c r="C23" s="20" t="n">
        <f aca="false">13.5*(1+Assumptions!$B$51)^Assumptions!$C$49</f>
        <v>15.65020000305</v>
      </c>
      <c r="D23" s="20" t="n">
        <f aca="false">13.5*(1+Assumptions!$B$51)^Assumptions!$D$49</f>
        <v>18.1428711211457</v>
      </c>
    </row>
    <row r="24" customFormat="false" ht="15" hidden="false" customHeight="true" outlineLevel="0" collapsed="false">
      <c r="A24" s="1" t="s">
        <v>114</v>
      </c>
      <c r="B24" s="20" t="n">
        <f aca="false">(109.5/12)*(1+Assumptions!$B$51)^Assumptions!$B$49</f>
        <v>9.39875</v>
      </c>
      <c r="C24" s="20" t="n">
        <f aca="false">(109.5/12)*(1+Assumptions!$B$51)^Assumptions!$C$49</f>
        <v>10.5783759279875</v>
      </c>
      <c r="D24" s="20" t="n">
        <f aca="false">(109.5/12)*(1+Assumptions!$B$51)^Assumptions!$D$49</f>
        <v>12.2632369615151</v>
      </c>
    </row>
    <row r="26" customFormat="false" ht="15" hidden="false" customHeight="true" outlineLevel="0" collapsed="false">
      <c r="A26" s="1" t="s">
        <v>115</v>
      </c>
      <c r="B26" s="18" t="n">
        <f aca="false">B23-B20</f>
        <v>12.5433553163544</v>
      </c>
      <c r="C26" s="18" t="n">
        <f aca="false">C23-C20</f>
        <v>14.3413627401687</v>
      </c>
      <c r="D26" s="18" t="n">
        <f aca="false">D23-D20</f>
        <v>17.050896767338</v>
      </c>
    </row>
    <row r="27" customFormat="false" ht="15" hidden="false" customHeight="true" outlineLevel="0" collapsed="false">
      <c r="A27" s="1" t="s">
        <v>116</v>
      </c>
      <c r="B27" s="21" t="n">
        <f aca="false">B26/B23</f>
        <v>0.902075175573851</v>
      </c>
      <c r="C27" s="21" t="n">
        <f aca="false">C26/C23</f>
        <v>0.91636929479328</v>
      </c>
      <c r="D27" s="21" t="n">
        <f aca="false">D26/D23</f>
        <v>0.939812483563589</v>
      </c>
    </row>
    <row r="29" customFormat="false" ht="15" hidden="false" customHeight="true" outlineLevel="0" collapsed="false">
      <c r="A29" s="1" t="s">
        <v>117</v>
      </c>
      <c r="B29" s="18" t="n">
        <f aca="false">B24-B20</f>
        <v>8.0371053163544</v>
      </c>
      <c r="C29" s="18" t="n">
        <f aca="false">C24-C20</f>
        <v>9.26953866510622</v>
      </c>
      <c r="D29" s="18" t="n">
        <f aca="false">D24-D20</f>
        <v>11.1712626077075</v>
      </c>
    </row>
    <row r="30" customFormat="false" ht="15" hidden="false" customHeight="true" outlineLevel="0" collapsed="false">
      <c r="A30" s="1" t="s">
        <v>118</v>
      </c>
      <c r="B30" s="21" t="n">
        <f aca="false">B29/B24</f>
        <v>0.855124917287341</v>
      </c>
      <c r="C30" s="21" t="n">
        <f aca="false">C29/C24</f>
        <v>0.876272381338004</v>
      </c>
      <c r="D30" s="21" t="n">
        <f aca="false">D29/D24</f>
        <v>0.910955455135172</v>
      </c>
    </row>
    <row r="32" customFormat="false" ht="15" hidden="false" customHeight="true" outlineLevel="0" collapsed="false">
      <c r="A32" s="1" t="s">
        <v>119</v>
      </c>
      <c r="B32" s="8" t="n">
        <v>0.775</v>
      </c>
      <c r="C32" s="8" t="n">
        <v>0.775</v>
      </c>
      <c r="D32" s="8" t="n">
        <v>0.775</v>
      </c>
    </row>
    <row r="33" customFormat="false" ht="15" hidden="false" customHeight="true" outlineLevel="0" collapsed="false">
      <c r="A33" s="1" t="s">
        <v>120</v>
      </c>
      <c r="B33" s="21" t="n">
        <f aca="false">B27-B32</f>
        <v>0.127075175573851</v>
      </c>
      <c r="C33" s="21" t="n">
        <f aca="false">C27-C32</f>
        <v>0.14136929479328</v>
      </c>
      <c r="D33" s="21" t="n">
        <f aca="false">D27-D32</f>
        <v>0.164812483563589</v>
      </c>
    </row>
    <row r="34" customFormat="false" ht="15" hidden="false" customHeight="true" outlineLevel="0" collapsed="false">
      <c r="A34" s="1" t="s">
        <v>121</v>
      </c>
      <c r="B34" s="21" t="n">
        <f aca="false">B30-B32</f>
        <v>0.0801249172873413</v>
      </c>
      <c r="C34" s="21" t="n">
        <f aca="false">C30-C32</f>
        <v>0.101272381338004</v>
      </c>
      <c r="D34" s="21" t="n">
        <f aca="false">D30-D32</f>
        <v>0.135955455135172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0" min="10" style="1" width="10"/>
  </cols>
  <sheetData>
    <row r="1" customFormat="false" ht="17.25" hidden="false" customHeight="true" outlineLevel="0" collapsed="false">
      <c r="A1" s="2" t="s">
        <v>122</v>
      </c>
    </row>
    <row r="2" customFormat="false" ht="15" hidden="false" customHeight="true" outlineLevel="0" collapsed="false">
      <c r="A2" s="3" t="s">
        <v>123</v>
      </c>
    </row>
    <row r="4" customFormat="false" ht="15" hidden="false" customHeight="true" outlineLevel="0" collapsed="false">
      <c r="A4" s="6" t="s">
        <v>124</v>
      </c>
      <c r="B4" s="6" t="s">
        <v>125</v>
      </c>
      <c r="C4" s="6" t="s">
        <v>126</v>
      </c>
      <c r="D4" s="6" t="s">
        <v>127</v>
      </c>
      <c r="E4" s="6" t="s">
        <v>128</v>
      </c>
      <c r="F4" s="6" t="s">
        <v>129</v>
      </c>
      <c r="G4" s="6" t="s">
        <v>130</v>
      </c>
      <c r="H4" s="6" t="s">
        <v>131</v>
      </c>
      <c r="I4" s="6" t="s">
        <v>132</v>
      </c>
      <c r="J4" s="6" t="s">
        <v>133</v>
      </c>
    </row>
    <row r="5" customFormat="false" ht="15" hidden="false" customHeight="true" outlineLevel="0" collapsed="false">
      <c r="A5" s="10" t="n">
        <v>50</v>
      </c>
      <c r="B5" s="22" t="n">
        <f aca="false">CEILING(A5/Assumptions!$B$46,1)</f>
        <v>1</v>
      </c>
      <c r="C5" s="18" t="n">
        <f aca="false">B5*Assumptions!$B$21*Assumptions!$B$5*(1+Assumptions!$B$50)^Assumptions!$C$49</f>
        <v>4.6176318</v>
      </c>
      <c r="D5" s="18" t="n">
        <f aca="false">C5/A5</f>
        <v>0.092352636</v>
      </c>
      <c r="E5" s="18" t="n">
        <f aca="false">Assumptions!$B$20*Assumptions!$B$5/A5*(1+Assumptions!$B$50)^Assumptions!$C$49</f>
        <v>0.05964893784</v>
      </c>
      <c r="F5" s="18" t="n">
        <f aca="false">D5+E5</f>
        <v>0.15200157384</v>
      </c>
      <c r="G5" s="18" t="n">
        <f aca="false">'Per-Family Monthly Cost'!$C$14</f>
        <v>1.2998617219476</v>
      </c>
      <c r="H5" s="18" t="n">
        <f aca="false">F5+G5</f>
        <v>1.4518632957876</v>
      </c>
      <c r="I5" s="18" t="n">
        <f aca="false">'Per-Family Monthly Cost'!$C$23</f>
        <v>15.65020000305</v>
      </c>
      <c r="J5" s="21" t="n">
        <f aca="false">(I5-H5)/I5</f>
        <v>0.907230367950272</v>
      </c>
    </row>
    <row r="6" customFormat="false" ht="15" hidden="false" customHeight="true" outlineLevel="0" collapsed="false">
      <c r="A6" s="10" t="n">
        <v>100</v>
      </c>
      <c r="B6" s="22" t="n">
        <f aca="false">CEILING(A6/Assumptions!$B$46,1)</f>
        <v>1</v>
      </c>
      <c r="C6" s="18" t="n">
        <f aca="false">B6*Assumptions!$B$21*Assumptions!$B$5*(1+Assumptions!$B$50)^Assumptions!$C$49</f>
        <v>4.6176318</v>
      </c>
      <c r="D6" s="18" t="n">
        <f aca="false">C6/A6</f>
        <v>0.046176318</v>
      </c>
      <c r="E6" s="18" t="n">
        <f aca="false">Assumptions!$B$20*Assumptions!$B$5/A6*(1+Assumptions!$B$50)^Assumptions!$C$49</f>
        <v>0.02982446892</v>
      </c>
      <c r="F6" s="18" t="n">
        <f aca="false">D6+E6</f>
        <v>0.07600078692</v>
      </c>
      <c r="G6" s="18" t="n">
        <f aca="false">'Per-Family Monthly Cost'!$C$14</f>
        <v>1.2998617219476</v>
      </c>
      <c r="H6" s="18" t="n">
        <f aca="false">F6+G6</f>
        <v>1.3758625088676</v>
      </c>
      <c r="I6" s="18" t="n">
        <f aca="false">'Per-Family Monthly Cost'!$C$23</f>
        <v>15.65020000305</v>
      </c>
      <c r="J6" s="21" t="n">
        <f aca="false">(I6-H6)/I6</f>
        <v>0.912086586203405</v>
      </c>
    </row>
    <row r="7" customFormat="false" ht="15" hidden="false" customHeight="true" outlineLevel="0" collapsed="false">
      <c r="A7" s="10" t="n">
        <v>500</v>
      </c>
      <c r="B7" s="22" t="n">
        <f aca="false">CEILING(A7/Assumptions!$B$46,1)</f>
        <v>1</v>
      </c>
      <c r="C7" s="18" t="n">
        <f aca="false">B7*Assumptions!$B$21*Assumptions!$B$5*(1+Assumptions!$B$50)^Assumptions!$C$49</f>
        <v>4.6176318</v>
      </c>
      <c r="D7" s="18" t="n">
        <f aca="false">C7/A7</f>
        <v>0.0092352636</v>
      </c>
      <c r="E7" s="18" t="n">
        <f aca="false">Assumptions!$B$20*Assumptions!$B$5/A7*(1+Assumptions!$B$50)^Assumptions!$C$49</f>
        <v>0.005964893784</v>
      </c>
      <c r="F7" s="18" t="n">
        <f aca="false">D7+E7</f>
        <v>0.015200157384</v>
      </c>
      <c r="G7" s="18" t="n">
        <f aca="false">'Per-Family Monthly Cost'!$C$14</f>
        <v>1.2998617219476</v>
      </c>
      <c r="H7" s="18" t="n">
        <f aca="false">F7+G7</f>
        <v>1.3150618793316</v>
      </c>
      <c r="I7" s="18" t="n">
        <f aca="false">'Per-Family Monthly Cost'!$C$23</f>
        <v>15.65020000305</v>
      </c>
      <c r="J7" s="21" t="n">
        <f aca="false">(I7-H7)/I7</f>
        <v>0.915971560805912</v>
      </c>
    </row>
    <row r="8" customFormat="false" ht="15" hidden="false" customHeight="true" outlineLevel="0" collapsed="false">
      <c r="A8" s="10" t="n">
        <v>1000</v>
      </c>
      <c r="B8" s="22" t="n">
        <f aca="false">CEILING(A8/Assumptions!$B$46,1)</f>
        <v>1</v>
      </c>
      <c r="C8" s="18" t="n">
        <f aca="false">B8*Assumptions!$B$21*Assumptions!$B$5*(1+Assumptions!$B$50)^Assumptions!$C$49</f>
        <v>4.6176318</v>
      </c>
      <c r="D8" s="18" t="n">
        <f aca="false">C8/A8</f>
        <v>0.0046176318</v>
      </c>
      <c r="E8" s="18" t="n">
        <f aca="false">Assumptions!$B$20*Assumptions!$B$5/A8*(1+Assumptions!$B$50)^Assumptions!$C$49</f>
        <v>0.002982446892</v>
      </c>
      <c r="F8" s="18" t="n">
        <f aca="false">D8+E8</f>
        <v>0.007600078692</v>
      </c>
      <c r="G8" s="18" t="n">
        <f aca="false">'Per-Family Monthly Cost'!$C$14</f>
        <v>1.2998617219476</v>
      </c>
      <c r="H8" s="18" t="n">
        <f aca="false">F8+G8</f>
        <v>1.3074618006396</v>
      </c>
      <c r="I8" s="18" t="n">
        <f aca="false">'Per-Family Monthly Cost'!$C$23</f>
        <v>15.65020000305</v>
      </c>
      <c r="J8" s="21" t="n">
        <f aca="false">(I8-H8)/I8</f>
        <v>0.916457182631225</v>
      </c>
    </row>
    <row r="9" customFormat="false" ht="15" hidden="false" customHeight="true" outlineLevel="0" collapsed="false">
      <c r="A9" s="10" t="n">
        <v>5000</v>
      </c>
      <c r="B9" s="22" t="n">
        <f aca="false">CEILING(A9/Assumptions!$B$46,1)</f>
        <v>3</v>
      </c>
      <c r="C9" s="18" t="n">
        <f aca="false">B9*Assumptions!$B$21*Assumptions!$B$5*(1+Assumptions!$B$50)^Assumptions!$C$49</f>
        <v>13.8528954</v>
      </c>
      <c r="D9" s="18" t="n">
        <f aca="false">C9/A9</f>
        <v>0.00277057908</v>
      </c>
      <c r="E9" s="18" t="n">
        <f aca="false">Assumptions!$B$20*Assumptions!$B$5/A9*(1+Assumptions!$B$50)^Assumptions!$C$49</f>
        <v>0.0005964893784</v>
      </c>
      <c r="F9" s="18" t="n">
        <f aca="false">D9+E9</f>
        <v>0.0033670684584</v>
      </c>
      <c r="G9" s="18" t="n">
        <f aca="false">'Per-Family Monthly Cost'!$C$14</f>
        <v>1.2998617219476</v>
      </c>
      <c r="H9" s="18" t="n">
        <f aca="false">F9+G9</f>
        <v>1.303228790406</v>
      </c>
      <c r="I9" s="18" t="n">
        <f aca="false">'Per-Family Monthly Cost'!$C$23</f>
        <v>15.65020000305</v>
      </c>
      <c r="J9" s="21" t="n">
        <f aca="false">(I9-H9)/I9</f>
        <v>0.916727659061736</v>
      </c>
    </row>
    <row r="10" customFormat="false" ht="15" hidden="false" customHeight="true" outlineLevel="0" collapsed="false">
      <c r="A10" s="10" t="n">
        <v>10000</v>
      </c>
      <c r="B10" s="22" t="n">
        <f aca="false">CEILING(A10/Assumptions!$B$46,1)</f>
        <v>5</v>
      </c>
      <c r="C10" s="18" t="n">
        <f aca="false">B10*Assumptions!$B$21*Assumptions!$B$5*(1+Assumptions!$B$50)^Assumptions!$C$49</f>
        <v>23.088159</v>
      </c>
      <c r="D10" s="18" t="n">
        <f aca="false">C10/A10</f>
        <v>0.0023088159</v>
      </c>
      <c r="E10" s="18" t="n">
        <f aca="false">Assumptions!$B$20*Assumptions!$B$5/A10*(1+Assumptions!$B$50)^Assumptions!$C$49</f>
        <v>0.0002982446892</v>
      </c>
      <c r="F10" s="18" t="n">
        <f aca="false">D10+E10</f>
        <v>0.0026070605892</v>
      </c>
      <c r="G10" s="18" t="n">
        <f aca="false">'Per-Family Monthly Cost'!$C$14</f>
        <v>1.2998617219476</v>
      </c>
      <c r="H10" s="18" t="n">
        <f aca="false">F10+G10</f>
        <v>1.3024687825368</v>
      </c>
      <c r="I10" s="18" t="n">
        <f aca="false">'Per-Family Monthly Cost'!$C$23</f>
        <v>15.65020000305</v>
      </c>
      <c r="J10" s="21" t="n">
        <f aca="false">(I10-H10)/I10</f>
        <v>0.916776221244267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5"/>
  </cols>
  <sheetData>
    <row r="1" customFormat="false" ht="17.25" hidden="false" customHeight="true" outlineLevel="0" collapsed="false">
      <c r="A1" s="23" t="s">
        <v>134</v>
      </c>
      <c r="B1" s="24"/>
    </row>
    <row r="2" customFormat="false" ht="15" hidden="false" customHeight="true" outlineLevel="0" collapsed="false">
      <c r="A2" s="24"/>
      <c r="B2" s="24"/>
    </row>
    <row r="3" customFormat="false" ht="15" hidden="false" customHeight="true" outlineLevel="0" collapsed="false">
      <c r="A3" s="25" t="s">
        <v>135</v>
      </c>
      <c r="B3" s="24"/>
    </row>
    <row r="4" customFormat="false" ht="15" hidden="false" customHeight="true" outlineLevel="0" collapsed="false">
      <c r="A4" s="26" t="s">
        <v>136</v>
      </c>
      <c r="B4" s="24" t="s">
        <v>137</v>
      </c>
    </row>
    <row r="5" customFormat="false" ht="15" hidden="false" customHeight="true" outlineLevel="0" collapsed="false">
      <c r="A5" s="26" t="s">
        <v>138</v>
      </c>
      <c r="B5" s="24" t="s">
        <v>139</v>
      </c>
    </row>
    <row r="6" customFormat="false" ht="15" hidden="false" customHeight="true" outlineLevel="0" collapsed="false">
      <c r="A6" s="26" t="s">
        <v>140</v>
      </c>
      <c r="B6" s="24" t="s">
        <v>141</v>
      </c>
    </row>
    <row r="7" customFormat="false" ht="15" hidden="false" customHeight="true" outlineLevel="0" collapsed="false">
      <c r="A7" s="26" t="s">
        <v>142</v>
      </c>
      <c r="B7" s="24" t="s">
        <v>143</v>
      </c>
    </row>
    <row r="8" customFormat="false" ht="15" hidden="false" customHeight="true" outlineLevel="0" collapsed="false">
      <c r="A8" s="26" t="s">
        <v>144</v>
      </c>
      <c r="B8" s="24" t="s">
        <v>145</v>
      </c>
    </row>
    <row r="9" customFormat="false" ht="15" hidden="false" customHeight="true" outlineLevel="0" collapsed="false">
      <c r="A9" s="26" t="s">
        <v>146</v>
      </c>
      <c r="B9" s="24" t="s">
        <v>147</v>
      </c>
    </row>
    <row r="10" customFormat="false" ht="15" hidden="false" customHeight="true" outlineLevel="0" collapsed="false">
      <c r="A10" s="26" t="s">
        <v>41</v>
      </c>
      <c r="B10" s="24" t="s">
        <v>148</v>
      </c>
    </row>
    <row r="11" customFormat="false" ht="15" hidden="false" customHeight="true" outlineLevel="0" collapsed="false">
      <c r="A11" s="26"/>
      <c r="B11" s="24"/>
    </row>
    <row r="12" customFormat="false" ht="15" hidden="false" customHeight="true" outlineLevel="0" collapsed="false">
      <c r="A12" s="25" t="s">
        <v>149</v>
      </c>
      <c r="B12" s="24"/>
    </row>
    <row r="13" customFormat="false" ht="15" hidden="false" customHeight="true" outlineLevel="0" collapsed="false">
      <c r="A13" s="26" t="s">
        <v>150</v>
      </c>
      <c r="B13" s="24" t="s">
        <v>151</v>
      </c>
    </row>
    <row r="14" customFormat="false" ht="15" hidden="false" customHeight="true" outlineLevel="0" collapsed="false">
      <c r="A14" s="26" t="s">
        <v>152</v>
      </c>
      <c r="B14" s="24" t="s">
        <v>153</v>
      </c>
    </row>
    <row r="15" customFormat="false" ht="15" hidden="false" customHeight="true" outlineLevel="0" collapsed="false">
      <c r="A15" s="26" t="s">
        <v>154</v>
      </c>
      <c r="B15" s="24" t="s">
        <v>155</v>
      </c>
    </row>
    <row r="16" customFormat="false" ht="15" hidden="false" customHeight="true" outlineLevel="0" collapsed="false">
      <c r="A16" s="26" t="s">
        <v>156</v>
      </c>
      <c r="B16" s="24" t="s">
        <v>157</v>
      </c>
    </row>
    <row r="17" customFormat="false" ht="15" hidden="false" customHeight="true" outlineLevel="0" collapsed="false">
      <c r="A17" s="26" t="s">
        <v>158</v>
      </c>
      <c r="B17" s="24" t="s">
        <v>159</v>
      </c>
    </row>
    <row r="18" customFormat="false" ht="15" hidden="false" customHeight="true" outlineLevel="0" collapsed="false">
      <c r="A18" s="26" t="s">
        <v>160</v>
      </c>
      <c r="B18" s="24" t="s">
        <v>161</v>
      </c>
    </row>
    <row r="19" customFormat="false" ht="15" hidden="false" customHeight="true" outlineLevel="0" collapsed="false">
      <c r="A19" s="26" t="s">
        <v>162</v>
      </c>
      <c r="B19" s="24" t="s">
        <v>163</v>
      </c>
    </row>
    <row r="20" customFormat="false" ht="15" hidden="false" customHeight="true" outlineLevel="0" collapsed="false">
      <c r="A20" s="26" t="s">
        <v>164</v>
      </c>
      <c r="B20" s="24" t="s">
        <v>165</v>
      </c>
    </row>
    <row r="21" customFormat="false" ht="15" hidden="false" customHeight="true" outlineLevel="0" collapsed="false">
      <c r="A21" s="26" t="s">
        <v>166</v>
      </c>
      <c r="B21" s="24" t="s">
        <v>167</v>
      </c>
    </row>
    <row r="22" customFormat="false" ht="15" hidden="false" customHeight="true" outlineLevel="0" collapsed="false">
      <c r="A22" s="26" t="s">
        <v>168</v>
      </c>
      <c r="B22" s="24" t="s">
        <v>169</v>
      </c>
    </row>
    <row r="24" customFormat="false" ht="15" hidden="false" customHeight="false" outlineLevel="0" collapsed="false">
      <c r="A24" s="15" t="s">
        <v>170</v>
      </c>
    </row>
    <row r="25" customFormat="false" ht="15" hidden="false" customHeight="false" outlineLevel="0" collapsed="false">
      <c r="A25" s="27" t="s">
        <v>171</v>
      </c>
      <c r="B25" s="1" t="s">
        <v>172</v>
      </c>
    </row>
    <row r="26" customFormat="false" ht="15" hidden="false" customHeight="false" outlineLevel="0" collapsed="false">
      <c r="A26" s="27" t="s">
        <v>173</v>
      </c>
      <c r="B26" s="1" t="s">
        <v>174</v>
      </c>
    </row>
    <row r="27" customFormat="false" ht="15" hidden="false" customHeight="false" outlineLevel="0" collapsed="false">
      <c r="A27" s="27" t="s">
        <v>175</v>
      </c>
      <c r="B27" s="1" t="s">
        <v>176</v>
      </c>
    </row>
    <row r="28" customFormat="false" ht="15" hidden="false" customHeight="false" outlineLevel="0" collapsed="false">
      <c r="A28" s="27" t="s">
        <v>177</v>
      </c>
      <c r="B28" s="1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2026-07-13T21:11:00Z</dcterms:created>
  <dc:creator>openpyxl</dc:creator>
  <dc:description/>
  <dc:language>en-US</dc:language>
  <cp:lastModifiedBy/>
  <dcterms:modified xsi:type="dcterms:W3CDTF">2026-07-13T21:17:23Z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